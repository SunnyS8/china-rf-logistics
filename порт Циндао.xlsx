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s="1"/>
  <c r="G8" i="1"/>
  <c r="F9" i="1"/>
  <c r="F10" i="1" s="1"/>
  <c r="E9" i="1"/>
  <c r="E10" i="1" s="1"/>
  <c r="F8" i="1"/>
  <c r="E8" i="1"/>
</calcChain>
</file>

<file path=xl/sharedStrings.xml><?xml version="1.0" encoding="utf-8"?>
<sst xmlns="http://schemas.openxmlformats.org/spreadsheetml/2006/main" count="16" uniqueCount="15">
  <si>
    <t>фрахт</t>
  </si>
  <si>
    <t>жд</t>
  </si>
  <si>
    <t>авто</t>
  </si>
  <si>
    <t>вознаграж</t>
  </si>
  <si>
    <t>ставка авто может поменяться в связи с текущими проблемами в регионе</t>
  </si>
  <si>
    <t>итого</t>
  </si>
  <si>
    <t>Владик-Ростов-Ставрополь</t>
  </si>
  <si>
    <t>порт Циндао 40 фут 26 тонн</t>
  </si>
  <si>
    <t>прямое жд 30-35</t>
  </si>
  <si>
    <t>Дельпорте-Тимашевск (40-45)</t>
  </si>
  <si>
    <t>ИГЛ-Ростов 45-50 дн</t>
  </si>
  <si>
    <t>лучше ситуация на станции тимашвска</t>
  </si>
  <si>
    <t>терминалка 25 тыс</t>
  </si>
  <si>
    <t>терминалка 50 тыс</t>
  </si>
  <si>
    <t xml:space="preserve"> тыс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</si>
</sst>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-[$$-C09]* #,##0_-;\-[$$-C09]* #,##0_-;_-[$$-C09]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8"/>
  <sheetViews>
    <sheetView tabSelected="1" workbookViewId="0">
      <selection activeCell="E20" sqref="E20"/>
    </sheetView>
  </sheetViews>
  <sheetFormatPr defaultRowHeight="14.4" x14ac:dyDescent="0.3"/>
  <cols>
    <col min="4" max="4" width="19.6640625" customWidth="1"/>
    <col min="5" max="5" width="22.44140625" customWidth="1"/>
    <col min="6" max="6" width="20.44140625" customWidth="1"/>
    <col min="7" max="7" width="17.88671875" customWidth="1"/>
  </cols>
  <sheetData>
    <row r="2" spans="3:7" x14ac:dyDescent="0.3">
      <c r="C2" t="s">
        <v>7</v>
      </c>
      <c r="E2" t="s">
        <v>6</v>
      </c>
    </row>
    <row r="3" spans="3:7" ht="28.8" x14ac:dyDescent="0.3">
      <c r="E3" s="3" t="s">
        <v>10</v>
      </c>
      <c r="F3" s="4" t="s">
        <v>9</v>
      </c>
      <c r="G3" s="3" t="s">
        <v>8</v>
      </c>
    </row>
    <row r="4" spans="3:7" x14ac:dyDescent="0.3">
      <c r="D4" s="5" t="s">
        <v>0</v>
      </c>
      <c r="E4" s="5">
        <v>4300</v>
      </c>
      <c r="F4" s="5">
        <v>4700</v>
      </c>
      <c r="G4" s="5">
        <v>11400</v>
      </c>
    </row>
    <row r="5" spans="3:7" x14ac:dyDescent="0.3">
      <c r="D5" s="5" t="s">
        <v>1</v>
      </c>
      <c r="E5" s="5">
        <v>405000</v>
      </c>
      <c r="F5" s="5">
        <v>388500</v>
      </c>
      <c r="G5" s="5"/>
    </row>
    <row r="6" spans="3:7" x14ac:dyDescent="0.3">
      <c r="D6" s="5" t="s">
        <v>2</v>
      </c>
      <c r="E6" s="5">
        <v>102000</v>
      </c>
      <c r="F6" s="5">
        <v>100000</v>
      </c>
      <c r="G6" s="5">
        <v>100000</v>
      </c>
    </row>
    <row r="7" spans="3:7" x14ac:dyDescent="0.3">
      <c r="D7" s="5" t="s">
        <v>3</v>
      </c>
      <c r="E7" s="5">
        <v>15000</v>
      </c>
      <c r="F7" s="5">
        <v>13000</v>
      </c>
      <c r="G7" s="5">
        <v>13000</v>
      </c>
    </row>
    <row r="8" spans="3:7" hidden="1" x14ac:dyDescent="0.3">
      <c r="D8" s="5"/>
      <c r="E8" s="5">
        <f>E4*86</f>
        <v>369800</v>
      </c>
      <c r="F8" s="5">
        <f>F4*86</f>
        <v>404200</v>
      </c>
      <c r="G8" s="5">
        <f>G4*86</f>
        <v>980400</v>
      </c>
    </row>
    <row r="9" spans="3:7" hidden="1" x14ac:dyDescent="0.3">
      <c r="D9" s="5" t="s">
        <v>5</v>
      </c>
      <c r="E9" s="5">
        <f>E5+E6+E7+E8</f>
        <v>891800</v>
      </c>
      <c r="F9" s="5">
        <f>F5+F6+F7+F8</f>
        <v>905700</v>
      </c>
      <c r="G9" s="5">
        <f>G6+G7+G8</f>
        <v>1093400</v>
      </c>
    </row>
    <row r="10" spans="3:7" x14ac:dyDescent="0.3">
      <c r="D10" s="5" t="s">
        <v>5</v>
      </c>
      <c r="E10" s="6">
        <f>E9/86</f>
        <v>10369.767441860466</v>
      </c>
      <c r="F10" s="6">
        <f>F9/86</f>
        <v>10531.39534883721</v>
      </c>
      <c r="G10" s="7">
        <f>G9/86</f>
        <v>12713.953488372093</v>
      </c>
    </row>
    <row r="11" spans="3:7" ht="91.2" customHeight="1" x14ac:dyDescent="0.3">
      <c r="E11" s="2" t="s">
        <v>4</v>
      </c>
      <c r="F11" s="1" t="s">
        <v>11</v>
      </c>
    </row>
    <row r="12" spans="3:7" x14ac:dyDescent="0.3">
      <c r="E12" t="s">
        <v>13</v>
      </c>
      <c r="F12" t="s">
        <v>12</v>
      </c>
    </row>
    <row r="18" spans="5:5" x14ac:dyDescent="0.3">
      <c r="E18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2026-09-09T06:55:34Z</dcterms:modified>
</cp:coreProperties>
</file>